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liew/CMSC 254/"/>
    </mc:Choice>
  </mc:AlternateContent>
  <xr:revisionPtr revIDLastSave="0" documentId="13_ncr:1_{0B23200D-50ED-104B-9047-E6651B7CC04C}" xr6:coauthVersionLast="47" xr6:coauthVersionMax="47" xr10:uidLastSave="{00000000-0000-0000-0000-000000000000}"/>
  <bookViews>
    <workbookView xWindow="5360" yWindow="900" windowWidth="28040" windowHeight="17100" xr2:uid="{7F00EC99-88AD-2A47-80A2-469A02B53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41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F33" i="1"/>
  <c r="F36" i="1" s="1"/>
  <c r="E33" i="1"/>
  <c r="E36" i="1" s="1"/>
  <c r="D36" i="1"/>
  <c r="D35" i="1"/>
  <c r="M25" i="1"/>
  <c r="L25" i="1"/>
  <c r="K25" i="1"/>
  <c r="J25" i="1"/>
  <c r="I25" i="1"/>
  <c r="H25" i="1"/>
  <c r="G25" i="1"/>
  <c r="F25" i="1"/>
  <c r="E25" i="1"/>
  <c r="D25" i="1"/>
  <c r="C25" i="1"/>
  <c r="O25" i="1" s="1"/>
  <c r="M24" i="1"/>
  <c r="L24" i="1"/>
  <c r="K24" i="1"/>
  <c r="J24" i="1"/>
  <c r="I24" i="1"/>
  <c r="H24" i="1"/>
  <c r="G24" i="1"/>
  <c r="F24" i="1"/>
  <c r="E24" i="1"/>
  <c r="D24" i="1"/>
  <c r="C24" i="1"/>
  <c r="H19" i="1"/>
  <c r="G19" i="1"/>
  <c r="F19" i="1"/>
  <c r="B19" i="1"/>
  <c r="M13" i="1"/>
  <c r="M19" i="1" s="1"/>
  <c r="B13" i="1"/>
  <c r="L13" i="1"/>
  <c r="L19" i="1" s="1"/>
  <c r="K13" i="1"/>
  <c r="K19" i="1" s="1"/>
  <c r="J13" i="1"/>
  <c r="J19" i="1" s="1"/>
  <c r="I13" i="1"/>
  <c r="I19" i="1" s="1"/>
  <c r="H13" i="1"/>
  <c r="G13" i="1"/>
  <c r="F13" i="1"/>
  <c r="E13" i="1"/>
  <c r="E19" i="1" s="1"/>
  <c r="D13" i="1"/>
  <c r="D19" i="1" s="1"/>
  <c r="C13" i="1"/>
  <c r="C19" i="1" s="1"/>
  <c r="M12" i="1"/>
  <c r="M18" i="1" s="1"/>
  <c r="L12" i="1"/>
  <c r="L18" i="1" s="1"/>
  <c r="K12" i="1"/>
  <c r="K18" i="1" s="1"/>
  <c r="J12" i="1"/>
  <c r="J18" i="1" s="1"/>
  <c r="I12" i="1"/>
  <c r="I18" i="1" s="1"/>
  <c r="H12" i="1"/>
  <c r="H18" i="1" s="1"/>
  <c r="G12" i="1"/>
  <c r="G18" i="1" s="1"/>
  <c r="F12" i="1"/>
  <c r="F18" i="1" s="1"/>
  <c r="E12" i="1"/>
  <c r="E18" i="1" s="1"/>
  <c r="D12" i="1"/>
  <c r="D18" i="1" s="1"/>
  <c r="C12" i="1"/>
  <c r="C18" i="1" s="1"/>
  <c r="B12" i="1"/>
  <c r="B18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C8" i="1"/>
  <c r="B8" i="1"/>
  <c r="F35" i="1" l="1"/>
  <c r="G33" i="1"/>
  <c r="E35" i="1"/>
  <c r="O19" i="1"/>
  <c r="O18" i="1"/>
  <c r="O24" i="1"/>
  <c r="G35" i="1" l="1"/>
  <c r="H33" i="1"/>
  <c r="G36" i="1"/>
  <c r="I33" i="1" l="1"/>
  <c r="H35" i="1"/>
  <c r="H36" i="1"/>
  <c r="J33" i="1" l="1"/>
  <c r="I35" i="1"/>
  <c r="I36" i="1"/>
  <c r="J35" i="1" l="1"/>
  <c r="K33" i="1"/>
  <c r="J36" i="1"/>
  <c r="L33" i="1" l="1"/>
  <c r="K36" i="1"/>
  <c r="K35" i="1"/>
  <c r="M33" i="1" l="1"/>
  <c r="L36" i="1"/>
  <c r="L35" i="1"/>
  <c r="M36" i="1" l="1"/>
  <c r="O36" i="1" s="1"/>
  <c r="M35" i="1"/>
  <c r="O35" i="1" s="1"/>
</calcChain>
</file>

<file path=xl/sharedStrings.xml><?xml version="1.0" encoding="utf-8"?>
<sst xmlns="http://schemas.openxmlformats.org/spreadsheetml/2006/main" count="19" uniqueCount="17">
  <si>
    <t>issue date</t>
  </si>
  <si>
    <t>maturity date</t>
  </si>
  <si>
    <t>coupon rate</t>
  </si>
  <si>
    <t>clean price</t>
  </si>
  <si>
    <t>accrued interest</t>
  </si>
  <si>
    <t>ytm</t>
  </si>
  <si>
    <t>dirty price</t>
  </si>
  <si>
    <t>YTM</t>
  </si>
  <si>
    <t>Implied Price</t>
  </si>
  <si>
    <t>CF</t>
  </si>
  <si>
    <t>DCF</t>
  </si>
  <si>
    <t>Price as of 2024-2-16</t>
  </si>
  <si>
    <t>DCF (Given Orig YTM)</t>
  </si>
  <si>
    <t>YOU NETED $27</t>
  </si>
  <si>
    <t>Position Value would be</t>
  </si>
  <si>
    <t>After the Yield Changes</t>
  </si>
  <si>
    <t>Change in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</si>
</sst>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rgb="FF000000"/>
      <name val="Helvetica Neue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10" fontId="0" fillId="0" borderId="0" xfId="0" applyNumberFormat="1"/>
    <xf numFmtId="10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4" fontId="4" fillId="0" borderId="0" xfId="0" applyNumberFormat="1" applyFont="1"/>
    <xf numFmtId="0" fontId="3" fillId="0" borderId="0" xfId="0" applyFont="1"/>
    <xf numFmtId="0" fontId="4" fillId="0" borderId="0" xfId="0" applyFont="1"/>
    <xf numFmtId="9" fontId="0" fillId="0" borderId="0" xfId="0" applyNumberFormat="1"/>
    <xf numFmtId="10" fontId="6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1EE0-A336-A447-B9C7-2F55C15087D6}">
  <dimension ref="A1:R43"/>
  <sheetViews>
    <sheetView tabSelected="1" zoomScale="50" workbookViewId="0">
      <selection activeCell="D5" sqref="D5"/>
    </sheetView>
  </sheetViews>
  <sheetFormatPr baseColWidth="10" defaultRowHeight="16" x14ac:dyDescent="0.2"/>
  <cols>
    <col min="1" max="1" width="36.83203125" customWidth="1"/>
    <col min="2" max="2" width="29" bestFit="1" customWidth="1"/>
    <col min="3" max="3" width="15.33203125" bestFit="1" customWidth="1"/>
    <col min="4" max="13" width="12.33203125" bestFit="1" customWidth="1"/>
    <col min="15" max="15" width="26" customWidth="1"/>
    <col min="17" max="17" width="19.33203125" customWidth="1"/>
    <col min="18" max="18" width="13.5" customWidth="1"/>
  </cols>
  <sheetData>
    <row r="1" spans="1:15" ht="20" x14ac:dyDescent="0.2">
      <c r="A1" s="1"/>
      <c r="B1" s="1">
        <v>207391</v>
      </c>
      <c r="C1" s="1">
        <v>204095</v>
      </c>
    </row>
    <row r="2" spans="1:15" ht="20" x14ac:dyDescent="0.2">
      <c r="A2" s="1" t="s">
        <v>0</v>
      </c>
      <c r="B2" s="3">
        <v>43692</v>
      </c>
      <c r="C2" s="3">
        <v>36387</v>
      </c>
    </row>
    <row r="3" spans="1:15" ht="20" x14ac:dyDescent="0.2">
      <c r="A3" s="1" t="s">
        <v>1</v>
      </c>
      <c r="B3" s="3">
        <v>47345</v>
      </c>
      <c r="C3" s="3">
        <v>47345</v>
      </c>
    </row>
    <row r="4" spans="1:15" ht="20" x14ac:dyDescent="0.2">
      <c r="A4" s="1" t="s">
        <v>2</v>
      </c>
      <c r="B4" s="5">
        <v>1.6199999999999999E-2</v>
      </c>
      <c r="C4" s="5">
        <v>6.1199999999999997E-2</v>
      </c>
    </row>
    <row r="5" spans="1:15" ht="20" x14ac:dyDescent="0.2">
      <c r="A5" s="1" t="s">
        <v>3</v>
      </c>
      <c r="B5" s="6">
        <v>89.03</v>
      </c>
      <c r="C5" s="6">
        <v>111.04</v>
      </c>
    </row>
    <row r="6" spans="1:15" ht="20" x14ac:dyDescent="0.2">
      <c r="A6" s="1" t="s">
        <v>4</v>
      </c>
      <c r="B6" s="6">
        <v>0.6</v>
      </c>
      <c r="C6" s="6">
        <v>2.2599999999999998</v>
      </c>
    </row>
    <row r="7" spans="1:15" ht="20" x14ac:dyDescent="0.2">
      <c r="A7" s="1" t="s">
        <v>5</v>
      </c>
      <c r="B7" s="5">
        <v>3.7699999999999997E-2</v>
      </c>
      <c r="C7" s="5">
        <v>3.8800000000000001E-2</v>
      </c>
    </row>
    <row r="8" spans="1:15" ht="20" x14ac:dyDescent="0.2">
      <c r="A8" s="1" t="s">
        <v>6</v>
      </c>
      <c r="B8" s="7">
        <f>B5+B6</f>
        <v>89.63</v>
      </c>
      <c r="C8" s="7">
        <f>C5+C6</f>
        <v>113.30000000000001</v>
      </c>
      <c r="D8" s="13"/>
    </row>
    <row r="10" spans="1:15" ht="20" x14ac:dyDescent="0.2">
      <c r="A10" s="1" t="s">
        <v>9</v>
      </c>
    </row>
    <row r="11" spans="1:15" x14ac:dyDescent="0.2">
      <c r="B11" s="8">
        <v>45337</v>
      </c>
      <c r="C11" s="8">
        <f>EDATE(B11,6)</f>
        <v>45519</v>
      </c>
      <c r="D11" s="8">
        <f t="shared" ref="D11:M11" si="0">EDATE(C11,6)</f>
        <v>45703</v>
      </c>
      <c r="E11" s="8">
        <f t="shared" si="0"/>
        <v>45884</v>
      </c>
      <c r="F11" s="8">
        <f t="shared" si="0"/>
        <v>46068</v>
      </c>
      <c r="G11" s="8">
        <f t="shared" si="0"/>
        <v>46249</v>
      </c>
      <c r="H11" s="8">
        <f t="shared" si="0"/>
        <v>46433</v>
      </c>
      <c r="I11" s="8">
        <f t="shared" si="0"/>
        <v>46614</v>
      </c>
      <c r="J11" s="8">
        <f t="shared" si="0"/>
        <v>46798</v>
      </c>
      <c r="K11" s="8">
        <f t="shared" si="0"/>
        <v>46980</v>
      </c>
      <c r="L11" s="8">
        <f t="shared" si="0"/>
        <v>47164</v>
      </c>
      <c r="M11" s="8">
        <f t="shared" si="0"/>
        <v>47345</v>
      </c>
    </row>
    <row r="12" spans="1:15" ht="20" x14ac:dyDescent="0.2">
      <c r="A12" s="1">
        <v>207391</v>
      </c>
      <c r="B12">
        <f>(100*$B$4)/2</f>
        <v>0.80999999999999994</v>
      </c>
      <c r="C12">
        <f t="shared" ref="C12:M12" si="1">(100*$B$4)/2</f>
        <v>0.80999999999999994</v>
      </c>
      <c r="D12">
        <f t="shared" si="1"/>
        <v>0.80999999999999994</v>
      </c>
      <c r="E12">
        <f t="shared" si="1"/>
        <v>0.80999999999999994</v>
      </c>
      <c r="F12">
        <f t="shared" si="1"/>
        <v>0.80999999999999994</v>
      </c>
      <c r="G12">
        <f t="shared" si="1"/>
        <v>0.80999999999999994</v>
      </c>
      <c r="H12">
        <f t="shared" si="1"/>
        <v>0.80999999999999994</v>
      </c>
      <c r="I12">
        <f t="shared" si="1"/>
        <v>0.80999999999999994</v>
      </c>
      <c r="J12">
        <f t="shared" si="1"/>
        <v>0.80999999999999994</v>
      </c>
      <c r="K12">
        <f t="shared" si="1"/>
        <v>0.80999999999999994</v>
      </c>
      <c r="L12">
        <f t="shared" si="1"/>
        <v>0.80999999999999994</v>
      </c>
      <c r="M12">
        <f>(100*$B$4)/2 + 100</f>
        <v>100.81</v>
      </c>
    </row>
    <row r="13" spans="1:15" ht="20" x14ac:dyDescent="0.2">
      <c r="A13" s="1">
        <v>204095</v>
      </c>
      <c r="B13">
        <f>($C$4*100)/2</f>
        <v>3.06</v>
      </c>
      <c r="C13">
        <f t="shared" ref="C13:M13" si="2">($C$4*100)/2</f>
        <v>3.06</v>
      </c>
      <c r="D13">
        <f t="shared" si="2"/>
        <v>3.06</v>
      </c>
      <c r="E13">
        <f t="shared" si="2"/>
        <v>3.06</v>
      </c>
      <c r="F13">
        <f t="shared" si="2"/>
        <v>3.06</v>
      </c>
      <c r="G13">
        <f t="shared" si="2"/>
        <v>3.06</v>
      </c>
      <c r="H13">
        <f t="shared" si="2"/>
        <v>3.06</v>
      </c>
      <c r="I13">
        <f t="shared" si="2"/>
        <v>3.06</v>
      </c>
      <c r="J13">
        <f t="shared" si="2"/>
        <v>3.06</v>
      </c>
      <c r="K13">
        <f t="shared" si="2"/>
        <v>3.06</v>
      </c>
      <c r="L13">
        <f t="shared" si="2"/>
        <v>3.06</v>
      </c>
      <c r="M13">
        <f>($C$4*100)/2  + 100</f>
        <v>103.06</v>
      </c>
    </row>
    <row r="14" spans="1:15" x14ac:dyDescent="0.2">
      <c r="B14">
        <f>B13-B12</f>
        <v>2.25</v>
      </c>
      <c r="C14">
        <f t="shared" ref="C14:L14" si="3">C13-C12</f>
        <v>2.25</v>
      </c>
      <c r="D14">
        <f t="shared" si="3"/>
        <v>2.25</v>
      </c>
      <c r="E14">
        <f t="shared" si="3"/>
        <v>2.25</v>
      </c>
      <c r="F14">
        <f t="shared" si="3"/>
        <v>2.25</v>
      </c>
      <c r="G14">
        <f t="shared" si="3"/>
        <v>2.25</v>
      </c>
      <c r="H14">
        <f t="shared" si="3"/>
        <v>2.25</v>
      </c>
      <c r="I14">
        <f t="shared" si="3"/>
        <v>2.25</v>
      </c>
      <c r="J14">
        <f t="shared" si="3"/>
        <v>2.25</v>
      </c>
      <c r="K14">
        <f t="shared" si="3"/>
        <v>2.25</v>
      </c>
      <c r="L14">
        <f t="shared" si="3"/>
        <v>2.25</v>
      </c>
      <c r="M14">
        <f>M13-M12</f>
        <v>2.25</v>
      </c>
      <c r="N14">
        <f>SUM(B14:M14)</f>
        <v>27</v>
      </c>
      <c r="O14" t="s">
        <v>13</v>
      </c>
    </row>
    <row r="16" spans="1:15" ht="20" x14ac:dyDescent="0.2">
      <c r="A16" s="1" t="s">
        <v>12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12</v>
      </c>
    </row>
    <row r="17" spans="1:18" ht="20" x14ac:dyDescent="0.2">
      <c r="A17" s="1"/>
      <c r="B17" s="8">
        <v>45337</v>
      </c>
      <c r="C17" s="8">
        <f>EDATE(B17,6)</f>
        <v>45519</v>
      </c>
      <c r="D17" s="8">
        <f t="shared" ref="D17:M17" si="4">EDATE(C17,6)</f>
        <v>45703</v>
      </c>
      <c r="E17" s="8">
        <f t="shared" si="4"/>
        <v>45884</v>
      </c>
      <c r="F17" s="8">
        <f t="shared" si="4"/>
        <v>46068</v>
      </c>
      <c r="G17" s="8">
        <f t="shared" si="4"/>
        <v>46249</v>
      </c>
      <c r="H17" s="8">
        <f t="shared" si="4"/>
        <v>46433</v>
      </c>
      <c r="I17" s="8">
        <f t="shared" si="4"/>
        <v>46614</v>
      </c>
      <c r="J17" s="8">
        <f t="shared" si="4"/>
        <v>46798</v>
      </c>
      <c r="K17" s="8">
        <f t="shared" si="4"/>
        <v>46980</v>
      </c>
      <c r="L17" s="8">
        <f t="shared" si="4"/>
        <v>47164</v>
      </c>
      <c r="M17" s="8">
        <f t="shared" si="4"/>
        <v>47345</v>
      </c>
      <c r="O17" s="10" t="s">
        <v>8</v>
      </c>
      <c r="Q17" s="10"/>
      <c r="R17" s="10"/>
    </row>
    <row r="18" spans="1:18" ht="20" x14ac:dyDescent="0.2">
      <c r="A18" s="1">
        <v>207391</v>
      </c>
      <c r="B18">
        <f>B12/(1+$B$7/2)^B16</f>
        <v>0.79501398635716736</v>
      </c>
      <c r="C18">
        <f t="shared" ref="C18:M18" si="5">C12/(1+$B$7/2)^C16</f>
        <v>0.78030523272038799</v>
      </c>
      <c r="D18">
        <f t="shared" si="5"/>
        <v>0.76586860943258384</v>
      </c>
      <c r="E18">
        <f t="shared" si="5"/>
        <v>0.75169908174175182</v>
      </c>
      <c r="F18">
        <f t="shared" si="5"/>
        <v>0.73779170804510164</v>
      </c>
      <c r="G18">
        <f t="shared" si="5"/>
        <v>0.72414163816567856</v>
      </c>
      <c r="H18">
        <f t="shared" si="5"/>
        <v>0.71074411166087115</v>
      </c>
      <c r="I18">
        <f t="shared" si="5"/>
        <v>0.69759445616221338</v>
      </c>
      <c r="J18">
        <f t="shared" si="5"/>
        <v>0.68468808574590301</v>
      </c>
      <c r="K18">
        <f t="shared" si="5"/>
        <v>0.67202049933346719</v>
      </c>
      <c r="L18">
        <f t="shared" si="5"/>
        <v>0.6595872791220172</v>
      </c>
      <c r="M18">
        <f t="shared" si="5"/>
        <v>80.57134569935792</v>
      </c>
      <c r="O18" s="9">
        <f>SUM(B18:M18)</f>
        <v>88.550800387845058</v>
      </c>
      <c r="R18" s="11"/>
    </row>
    <row r="19" spans="1:18" ht="20" x14ac:dyDescent="0.2">
      <c r="A19" s="1">
        <v>204095</v>
      </c>
      <c r="B19">
        <f>B13/(1+$C$7/2)^B16</f>
        <v>3.001765744555621</v>
      </c>
      <c r="C19">
        <f>C13/(1+$C$7/2)^C16</f>
        <v>2.944639733721425</v>
      </c>
      <c r="D19">
        <f>D13/(1+$C$7/2)^D16</f>
        <v>2.888600876713189</v>
      </c>
      <c r="E19">
        <f t="shared" ref="E19:M19" si="6">E13/(1+$C$7/2)^E16</f>
        <v>2.8336284841212365</v>
      </c>
      <c r="F19">
        <f t="shared" si="6"/>
        <v>2.7797022602719599</v>
      </c>
      <c r="G19">
        <f t="shared" si="6"/>
        <v>2.7268022957347067</v>
      </c>
      <c r="H19">
        <f t="shared" si="6"/>
        <v>2.6749090599712639</v>
      </c>
      <c r="I19">
        <f t="shared" si="6"/>
        <v>2.6240033941252339</v>
      </c>
      <c r="J19">
        <f t="shared" si="6"/>
        <v>2.5740665039486306</v>
      </c>
      <c r="K19">
        <f t="shared" si="6"/>
        <v>2.5250799528630865</v>
      </c>
      <c r="L19">
        <f t="shared" si="6"/>
        <v>2.477025655153116</v>
      </c>
      <c r="M19">
        <f t="shared" si="6"/>
        <v>81.837920813370957</v>
      </c>
      <c r="O19" s="9">
        <f>SUM(B19:M19)</f>
        <v>111.88814477455043</v>
      </c>
    </row>
    <row r="22" spans="1:18" ht="20" x14ac:dyDescent="0.2">
      <c r="A22" s="1">
        <v>1.4</v>
      </c>
    </row>
    <row r="23" spans="1:18" ht="20" x14ac:dyDescent="0.2">
      <c r="A23" s="1"/>
      <c r="B23" s="1" t="s">
        <v>11</v>
      </c>
      <c r="C23" s="2">
        <v>45519</v>
      </c>
      <c r="D23" s="2">
        <v>45703</v>
      </c>
      <c r="E23" s="2">
        <v>45884</v>
      </c>
      <c r="F23" s="2">
        <v>46068</v>
      </c>
      <c r="G23" s="2">
        <v>46249</v>
      </c>
      <c r="H23" s="2">
        <v>46433</v>
      </c>
      <c r="I23" s="2">
        <v>46614</v>
      </c>
      <c r="J23" s="2">
        <v>46798</v>
      </c>
      <c r="K23" s="2">
        <v>46980</v>
      </c>
      <c r="L23" s="2">
        <v>47164</v>
      </c>
      <c r="M23" s="2">
        <v>47345</v>
      </c>
      <c r="O23" t="s">
        <v>7</v>
      </c>
    </row>
    <row r="24" spans="1:18" ht="20" x14ac:dyDescent="0.2">
      <c r="A24" s="1">
        <v>207391</v>
      </c>
      <c r="B24" s="1">
        <v>-87</v>
      </c>
      <c r="C24">
        <f t="shared" ref="C24:M24" si="7">(100*$B$4)/2</f>
        <v>0.80999999999999994</v>
      </c>
      <c r="D24">
        <f t="shared" si="7"/>
        <v>0.80999999999999994</v>
      </c>
      <c r="E24">
        <f t="shared" si="7"/>
        <v>0.80999999999999994</v>
      </c>
      <c r="F24">
        <f t="shared" si="7"/>
        <v>0.80999999999999994</v>
      </c>
      <c r="G24">
        <f t="shared" si="7"/>
        <v>0.80999999999999994</v>
      </c>
      <c r="H24">
        <f t="shared" si="7"/>
        <v>0.80999999999999994</v>
      </c>
      <c r="I24">
        <f t="shared" si="7"/>
        <v>0.80999999999999994</v>
      </c>
      <c r="J24">
        <f t="shared" si="7"/>
        <v>0.80999999999999994</v>
      </c>
      <c r="K24">
        <f t="shared" si="7"/>
        <v>0.80999999999999994</v>
      </c>
      <c r="L24">
        <f t="shared" si="7"/>
        <v>0.80999999999999994</v>
      </c>
      <c r="M24">
        <f>(100*$B$4)/2 + 100</f>
        <v>100.81</v>
      </c>
      <c r="O24" s="4">
        <f>IRR(B24:M24) * 2</f>
        <v>4.2992918871613828E-2</v>
      </c>
    </row>
    <row r="25" spans="1:18" ht="20" x14ac:dyDescent="0.2">
      <c r="A25" s="1">
        <v>204095</v>
      </c>
      <c r="B25" s="1">
        <v>-113</v>
      </c>
      <c r="C25">
        <f t="shared" ref="C25:M25" si="8">($C$4*100)/2</f>
        <v>3.06</v>
      </c>
      <c r="D25">
        <f t="shared" si="8"/>
        <v>3.06</v>
      </c>
      <c r="E25">
        <f t="shared" si="8"/>
        <v>3.06</v>
      </c>
      <c r="F25">
        <f t="shared" si="8"/>
        <v>3.06</v>
      </c>
      <c r="G25">
        <f t="shared" si="8"/>
        <v>3.06</v>
      </c>
      <c r="H25">
        <f t="shared" si="8"/>
        <v>3.06</v>
      </c>
      <c r="I25">
        <f t="shared" si="8"/>
        <v>3.06</v>
      </c>
      <c r="J25">
        <f t="shared" si="8"/>
        <v>3.06</v>
      </c>
      <c r="K25">
        <f t="shared" si="8"/>
        <v>3.06</v>
      </c>
      <c r="L25">
        <f t="shared" si="8"/>
        <v>3.06</v>
      </c>
      <c r="M25">
        <f>($C$4*100)/2  + 100</f>
        <v>103.06</v>
      </c>
      <c r="O25" s="4">
        <f>IRR(B25:M25) * 2</f>
        <v>3.5009397116304797E-2</v>
      </c>
    </row>
    <row r="29" spans="1:18" ht="20" x14ac:dyDescent="0.2">
      <c r="A29" s="1">
        <v>1.5</v>
      </c>
      <c r="B29" s="1" t="s">
        <v>7</v>
      </c>
    </row>
    <row r="30" spans="1:18" ht="20" x14ac:dyDescent="0.2">
      <c r="A30" s="1">
        <v>207391</v>
      </c>
      <c r="B30" s="12">
        <v>4.65E-2</v>
      </c>
    </row>
    <row r="31" spans="1:18" ht="20" x14ac:dyDescent="0.2">
      <c r="A31" s="1">
        <v>204095</v>
      </c>
      <c r="B31" s="12">
        <v>4.7E-2</v>
      </c>
    </row>
    <row r="32" spans="1:18" ht="20" x14ac:dyDescent="0.2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5" ht="20" x14ac:dyDescent="0.2">
      <c r="A33" s="1" t="s">
        <v>10</v>
      </c>
      <c r="D33">
        <v>1</v>
      </c>
      <c r="E33">
        <f>D33+1</f>
        <v>2</v>
      </c>
      <c r="F33">
        <f t="shared" ref="F33:M33" si="9">E33+1</f>
        <v>3</v>
      </c>
      <c r="G33">
        <f t="shared" si="9"/>
        <v>4</v>
      </c>
      <c r="H33">
        <f t="shared" si="9"/>
        <v>5</v>
      </c>
      <c r="I33">
        <f t="shared" si="9"/>
        <v>6</v>
      </c>
      <c r="J33">
        <f t="shared" si="9"/>
        <v>7</v>
      </c>
      <c r="K33">
        <f t="shared" si="9"/>
        <v>8</v>
      </c>
      <c r="L33">
        <f t="shared" si="9"/>
        <v>9</v>
      </c>
      <c r="M33">
        <f t="shared" si="9"/>
        <v>10</v>
      </c>
    </row>
    <row r="34" spans="1:15" ht="20" x14ac:dyDescent="0.2">
      <c r="A34" s="1"/>
      <c r="B34" s="8"/>
      <c r="C34" s="8"/>
      <c r="D34" s="8">
        <v>45703</v>
      </c>
      <c r="E34" s="8">
        <v>45884</v>
      </c>
      <c r="F34" s="8">
        <v>46068</v>
      </c>
      <c r="G34" s="8">
        <v>46249</v>
      </c>
      <c r="H34" s="8">
        <v>46433</v>
      </c>
      <c r="I34" s="8">
        <v>46614</v>
      </c>
      <c r="J34" s="8">
        <v>46798</v>
      </c>
      <c r="K34" s="8">
        <v>46980</v>
      </c>
      <c r="L34" s="8">
        <v>47164</v>
      </c>
      <c r="M34" s="8">
        <v>47345</v>
      </c>
      <c r="O34" t="s">
        <v>8</v>
      </c>
    </row>
    <row r="35" spans="1:15" ht="20" x14ac:dyDescent="0.2">
      <c r="A35" s="1">
        <v>207391</v>
      </c>
      <c r="D35">
        <f>D12/(1+$B$30/2)^D33</f>
        <v>0.79159540679208396</v>
      </c>
      <c r="E35">
        <f>E12/(1+$B$30/2)^E33</f>
        <v>0.77360899759793211</v>
      </c>
      <c r="F35">
        <f>F12/(1+$B$30/2)^F33</f>
        <v>0.75603127055747099</v>
      </c>
      <c r="G35">
        <f>G12/(1+$B$30/2)^G33</f>
        <v>0.73885293970923138</v>
      </c>
      <c r="H35">
        <f>H12/(1+$B$30/2)^H33</f>
        <v>0.7220649300847608</v>
      </c>
      <c r="I35">
        <f>I12/(1+$B$30/2)^I33</f>
        <v>0.70565837291449862</v>
      </c>
      <c r="J35">
        <f>J12/(1+$B$30/2)^J33</f>
        <v>0.68962460094258371</v>
      </c>
      <c r="K35">
        <f>K12/(1+$B$30/2)^K33</f>
        <v>0.67395514384811506</v>
      </c>
      <c r="L35">
        <f>L12/(1+$B$30/2)^L33</f>
        <v>0.65864172377045194</v>
      </c>
      <c r="M35">
        <f>M12/(1+$B$30/2)^M33</f>
        <v>80.109880070218395</v>
      </c>
      <c r="O35">
        <f>SUM(D35:M35)</f>
        <v>86.619913456435526</v>
      </c>
    </row>
    <row r="36" spans="1:15" ht="20" x14ac:dyDescent="0.2">
      <c r="A36" s="1">
        <v>204095</v>
      </c>
      <c r="D36" s="13">
        <f>D13/(1+$B$31/2)^D33</f>
        <v>2.9897410845139225</v>
      </c>
      <c r="E36" s="13">
        <f>E13/(1+$B$31/2)^E33</f>
        <v>2.9210953439315315</v>
      </c>
      <c r="F36" s="13">
        <f>F13/(1+$B$31/2)^F33</f>
        <v>2.854025739063538</v>
      </c>
      <c r="G36" s="13">
        <f t="shared" ref="G36:M36" si="10">G13/(1+$B$31/2)^G33</f>
        <v>2.7884960811563637</v>
      </c>
      <c r="H36" s="13">
        <f t="shared" si="10"/>
        <v>2.7244710123657678</v>
      </c>
      <c r="I36" s="13">
        <f t="shared" si="10"/>
        <v>2.6619159866788156</v>
      </c>
      <c r="J36" s="13">
        <f t="shared" si="10"/>
        <v>2.6007972512738791</v>
      </c>
      <c r="K36" s="13">
        <f t="shared" si="10"/>
        <v>2.5410818283086263</v>
      </c>
      <c r="L36" s="13">
        <f t="shared" si="10"/>
        <v>2.4827374971261613</v>
      </c>
      <c r="M36" s="13">
        <f t="shared" si="10"/>
        <v>81.698045746468495</v>
      </c>
      <c r="O36" s="13">
        <f>SUM(D36:M36)</f>
        <v>106.26240757088711</v>
      </c>
    </row>
    <row r="39" spans="1:15" ht="20" x14ac:dyDescent="0.2">
      <c r="A39" s="1">
        <v>1.6</v>
      </c>
    </row>
    <row r="40" spans="1:15" ht="20" x14ac:dyDescent="0.2">
      <c r="A40" s="1" t="s">
        <v>14</v>
      </c>
      <c r="B40">
        <v>23.67</v>
      </c>
    </row>
    <row r="41" spans="1:15" ht="20" x14ac:dyDescent="0.2">
      <c r="A41" s="1" t="s">
        <v>15</v>
      </c>
      <c r="B41" s="13">
        <f>O36-O35</f>
        <v>19.64249411445158</v>
      </c>
    </row>
    <row r="42" spans="1:15" ht="20" x14ac:dyDescent="0.2">
      <c r="A42" s="1" t="s">
        <v>16</v>
      </c>
      <c r="B42" s="13">
        <f>B41-B40</f>
        <v>-4.0275058855484218</v>
      </c>
    </row>
    <row r="43" spans="1:15" ht="20" x14ac:dyDescent="0.2">
      <c r="A43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Liew</dc:creator>
  <cp:lastModifiedBy>Matthew Liew</cp:lastModifiedBy>
  <dcterms:created xsi:type="dcterms:W3CDTF">2026-01-18T04:27:13Z</dcterms:created>
  <dcterms:modified xsi:type="dcterms:W3CDTF">2026-01-19T07:54:39Z</dcterms:modified>
</cp:coreProperties>
</file>